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olbanacid-my.sharepoint.com/personal/rizky_satria_tif24_polban_ac_id/Documents/Documents/rizky satria/Kampus Polban/Labtech Kerja Praktek/Folder Labtech/"/>
    </mc:Choice>
  </mc:AlternateContent>
  <xr:revisionPtr revIDLastSave="0" documentId="8_{B866C396-10EE-43E3-B292-B01773DE1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2" i="1"/>
  <c r="D33" i="1"/>
  <c r="D34" i="1"/>
  <c r="D35" i="1"/>
  <c r="D36" i="1"/>
  <c r="D37" i="1"/>
  <c r="D38" i="1"/>
  <c r="D39" i="1"/>
  <c r="D30" i="1"/>
  <c r="C31" i="1"/>
  <c r="C32" i="1"/>
  <c r="C33" i="1"/>
  <c r="C34" i="1"/>
  <c r="C35" i="1"/>
  <c r="C36" i="1"/>
  <c r="C37" i="1"/>
  <c r="C38" i="1"/>
  <c r="C39" i="1"/>
  <c r="C30" i="1"/>
  <c r="E25" i="1"/>
  <c r="D25" i="1"/>
  <c r="C25" i="1"/>
</calcChain>
</file>

<file path=xl/sharedStrings.xml><?xml version="1.0" encoding="utf-8"?>
<sst xmlns="http://schemas.openxmlformats.org/spreadsheetml/2006/main" count="31" uniqueCount="31">
  <si>
    <t>REKAP DATA PERIODIK 2025–2026</t>
  </si>
  <si>
    <t>Hasil konversi dari catatan tulisan tangan; sel berwarna kuning perlu diverifikasi.</t>
  </si>
  <si>
    <t>No.</t>
  </si>
  <si>
    <t>Hari/Tanggal</t>
  </si>
  <si>
    <t>Kolom 1</t>
  </si>
  <si>
    <t>Kolom 2</t>
  </si>
  <si>
    <t>Kolom 3</t>
  </si>
  <si>
    <t>Catatan</t>
  </si>
  <si>
    <t>Kolom 1 dan Kolom 2 perlu diperiksa</t>
  </si>
  <si>
    <t>Kolom 2 perlu diperiksa</t>
  </si>
  <si>
    <t>Tanggal perlu diperiksa</t>
  </si>
  <si>
    <t>Kolom 3 perlu diperiksa</t>
  </si>
  <si>
    <t>Kolom 1 perlu diperiksa</t>
  </si>
  <si>
    <t>JUMLAH HASIL INPUT</t>
  </si>
  <si>
    <t>Dihitung otomatis dari data di atas</t>
  </si>
  <si>
    <t>JUMLAH TERTULIS PADA FOTO</t>
  </si>
  <si>
    <t>Kolom 1 dan Kolom 2 masih perlu dipastikan</t>
  </si>
  <si>
    <t>No</t>
  </si>
  <si>
    <t xml:space="preserve">Data Bulan </t>
  </si>
  <si>
    <t>Jumlah Panen</t>
  </si>
  <si>
    <t>Total</t>
  </si>
  <si>
    <t>April 2026</t>
  </si>
  <si>
    <t>November 2025</t>
  </si>
  <si>
    <t>October 2025</t>
  </si>
  <si>
    <t>December 2025</t>
  </si>
  <si>
    <t>January 2026</t>
  </si>
  <si>
    <t>March 2026</t>
  </si>
  <si>
    <t>February 2026</t>
  </si>
  <si>
    <t>May 2026</t>
  </si>
  <si>
    <t>June 2026</t>
  </si>
  <si>
    <t>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</si>
</sst>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dd\,\ dd\ mmmm\ yyyy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0"/>
      <name val="Calibri"/>
      <family val="2"/>
      <scheme val="minor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5" borderId="3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5" borderId="3" xfId="0" applyFont="1" applyFill="1" applyBorder="1"/>
    <xf numFmtId="0" fontId="5" fillId="7" borderId="4" xfId="1" applyBorder="1"/>
    <xf numFmtId="0" fontId="5" fillId="7" borderId="4" xfId="1" applyBorder="1" applyAlignment="1"/>
    <xf numFmtId="0" fontId="5" fillId="0" borderId="0" xfId="1" applyFill="1" applyBorder="1"/>
    <xf numFmtId="0" fontId="5" fillId="7" borderId="5" xfId="1" applyBorder="1" applyAlignment="1"/>
    <xf numFmtId="49" fontId="0" fillId="0" borderId="0" xfId="0" applyNumberFormat="1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tabSelected="1" zoomScale="78" workbookViewId="0">
      <pane ySplit="4" topLeftCell="A24" activePane="bottomLeft" state="frozen"/>
      <selection pane="bottomLeft" activeCell="F33" sqref="F33"/>
    </sheetView>
  </sheetViews>
  <sheetFormatPr defaultRowHeight="13.8"/>
  <cols>
    <col min="1" max="1" width="8" customWidth="1"/>
    <col min="2" max="2" width="27" customWidth="1"/>
    <col min="3" max="5" width="13" customWidth="1"/>
    <col min="6" max="6" width="38" customWidth="1"/>
  </cols>
  <sheetData>
    <row r="1" spans="1:6" ht="28.05" customHeight="1">
      <c r="A1" s="10" t="s">
        <v>0</v>
      </c>
      <c r="B1" s="10"/>
      <c r="C1" s="10"/>
      <c r="D1" s="10"/>
      <c r="E1" s="10"/>
      <c r="F1" s="10"/>
    </row>
    <row r="2" spans="1:6" ht="31.95" customHeight="1">
      <c r="A2" s="11" t="s">
        <v>1</v>
      </c>
      <c r="B2" s="11"/>
      <c r="C2" s="11"/>
      <c r="D2" s="11"/>
      <c r="E2" s="11"/>
      <c r="F2" s="11"/>
    </row>
    <row r="4" spans="1:6" ht="22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2.05" customHeight="1">
      <c r="A5" s="3">
        <v>1</v>
      </c>
      <c r="B5" s="2">
        <v>45939</v>
      </c>
      <c r="C5" s="4">
        <v>39</v>
      </c>
      <c r="D5" s="4">
        <v>2</v>
      </c>
      <c r="E5" s="4">
        <v>6</v>
      </c>
      <c r="F5" s="8"/>
    </row>
    <row r="6" spans="1:6" ht="22.05" customHeight="1">
      <c r="A6" s="3">
        <v>2</v>
      </c>
      <c r="B6" s="2">
        <v>45957</v>
      </c>
      <c r="C6" s="4">
        <v>65</v>
      </c>
      <c r="D6" s="4">
        <v>2</v>
      </c>
      <c r="E6" s="4">
        <v>14</v>
      </c>
      <c r="F6" s="8"/>
    </row>
    <row r="7" spans="1:6" ht="22.05" customHeight="1">
      <c r="A7" s="3">
        <v>3</v>
      </c>
      <c r="B7" s="2">
        <v>45971</v>
      </c>
      <c r="C7" s="4">
        <v>104</v>
      </c>
      <c r="D7" s="4">
        <v>4</v>
      </c>
      <c r="E7" s="4">
        <v>20</v>
      </c>
      <c r="F7" s="8"/>
    </row>
    <row r="8" spans="1:6" ht="22.05" customHeight="1">
      <c r="A8" s="3">
        <v>4</v>
      </c>
      <c r="B8" s="2">
        <v>45985</v>
      </c>
      <c r="C8" s="4">
        <v>175</v>
      </c>
      <c r="D8" s="4">
        <v>7</v>
      </c>
      <c r="E8" s="4">
        <v>32</v>
      </c>
      <c r="F8" s="8"/>
    </row>
    <row r="9" spans="1:6" ht="22.05" customHeight="1">
      <c r="A9" s="3">
        <v>5</v>
      </c>
      <c r="B9" s="2">
        <v>45999</v>
      </c>
      <c r="C9" s="4">
        <v>104</v>
      </c>
      <c r="D9" s="4">
        <v>7</v>
      </c>
      <c r="E9" s="4">
        <v>30</v>
      </c>
      <c r="F9" s="8"/>
    </row>
    <row r="10" spans="1:6" ht="22.05" customHeight="1">
      <c r="A10" s="3">
        <v>6</v>
      </c>
      <c r="B10" s="2">
        <v>46013</v>
      </c>
      <c r="C10" s="6">
        <v>104</v>
      </c>
      <c r="D10" s="6">
        <v>22</v>
      </c>
      <c r="E10" s="4">
        <v>40</v>
      </c>
      <c r="F10" s="8" t="s">
        <v>8</v>
      </c>
    </row>
    <row r="11" spans="1:6" ht="22.05" customHeight="1">
      <c r="A11" s="3">
        <v>7</v>
      </c>
      <c r="B11" s="2">
        <v>46027</v>
      </c>
      <c r="C11" s="4">
        <v>429</v>
      </c>
      <c r="D11" s="6">
        <v>33</v>
      </c>
      <c r="E11" s="4">
        <v>34</v>
      </c>
      <c r="F11" s="8" t="s">
        <v>9</v>
      </c>
    </row>
    <row r="12" spans="1:6" ht="22.05" customHeight="1">
      <c r="A12" s="3">
        <v>8</v>
      </c>
      <c r="B12" s="2">
        <v>46041</v>
      </c>
      <c r="C12" s="4">
        <v>541</v>
      </c>
      <c r="D12" s="4">
        <v>34</v>
      </c>
      <c r="E12" s="4">
        <v>41</v>
      </c>
      <c r="F12" s="8"/>
    </row>
    <row r="13" spans="1:6" ht="22.05" customHeight="1">
      <c r="A13" s="3">
        <v>9</v>
      </c>
      <c r="B13" s="2">
        <v>46055</v>
      </c>
      <c r="C13" s="4">
        <v>753</v>
      </c>
      <c r="D13" s="4">
        <v>32</v>
      </c>
      <c r="E13" s="4">
        <v>24</v>
      </c>
      <c r="F13" s="8"/>
    </row>
    <row r="14" spans="1:6" ht="22.05" customHeight="1">
      <c r="A14" s="3">
        <v>10</v>
      </c>
      <c r="B14" s="7">
        <v>46073</v>
      </c>
      <c r="C14" s="4">
        <v>627</v>
      </c>
      <c r="D14" s="4">
        <v>32</v>
      </c>
      <c r="E14" s="4">
        <v>45</v>
      </c>
      <c r="F14" s="8" t="s">
        <v>10</v>
      </c>
    </row>
    <row r="15" spans="1:6" ht="22.05" customHeight="1">
      <c r="A15" s="3">
        <v>11</v>
      </c>
      <c r="B15" s="2">
        <v>46083</v>
      </c>
      <c r="C15" s="4">
        <v>583</v>
      </c>
      <c r="D15" s="4">
        <v>37</v>
      </c>
      <c r="E15" s="4">
        <v>30</v>
      </c>
      <c r="F15" s="8"/>
    </row>
    <row r="16" spans="1:6" ht="22.05" customHeight="1">
      <c r="A16" s="3">
        <v>12</v>
      </c>
      <c r="B16" s="2">
        <v>46097</v>
      </c>
      <c r="C16" s="4">
        <v>527</v>
      </c>
      <c r="D16" s="4">
        <v>27</v>
      </c>
      <c r="E16" s="4">
        <v>58</v>
      </c>
      <c r="F16" s="8"/>
    </row>
    <row r="17" spans="1:6" ht="22.05" customHeight="1">
      <c r="A17" s="3">
        <v>13</v>
      </c>
      <c r="B17" s="2">
        <v>46111</v>
      </c>
      <c r="C17" s="4">
        <v>936</v>
      </c>
      <c r="D17" s="4">
        <v>71</v>
      </c>
      <c r="E17" s="4">
        <v>69</v>
      </c>
      <c r="F17" s="8"/>
    </row>
    <row r="18" spans="1:6" ht="22.05" customHeight="1">
      <c r="A18" s="3">
        <v>14</v>
      </c>
      <c r="B18" s="2">
        <v>46127</v>
      </c>
      <c r="C18" s="4">
        <v>432</v>
      </c>
      <c r="D18" s="4">
        <v>27</v>
      </c>
      <c r="E18" s="4">
        <v>24</v>
      </c>
      <c r="F18" s="8"/>
    </row>
    <row r="19" spans="1:6" ht="22.05" customHeight="1">
      <c r="A19" s="3">
        <v>15</v>
      </c>
      <c r="B19" s="2">
        <v>46141</v>
      </c>
      <c r="C19" s="4">
        <v>426</v>
      </c>
      <c r="D19" s="4">
        <v>30</v>
      </c>
      <c r="E19" s="6">
        <v>18</v>
      </c>
      <c r="F19" s="8" t="s">
        <v>11</v>
      </c>
    </row>
    <row r="20" spans="1:6" ht="22.05" customHeight="1">
      <c r="A20" s="3">
        <v>16</v>
      </c>
      <c r="B20" s="2">
        <v>46155</v>
      </c>
      <c r="C20" s="4">
        <v>479</v>
      </c>
      <c r="D20" s="4">
        <v>28</v>
      </c>
      <c r="E20" s="4">
        <v>33</v>
      </c>
      <c r="F20" s="8"/>
    </row>
    <row r="21" spans="1:6" ht="22.05" customHeight="1">
      <c r="A21" s="3">
        <v>17</v>
      </c>
      <c r="B21" s="2">
        <v>46174</v>
      </c>
      <c r="C21" s="4">
        <v>348</v>
      </c>
      <c r="D21" s="4">
        <v>23</v>
      </c>
      <c r="E21" s="4">
        <v>25</v>
      </c>
      <c r="F21" s="8"/>
    </row>
    <row r="22" spans="1:6" ht="22.05" customHeight="1">
      <c r="A22" s="3">
        <v>18</v>
      </c>
      <c r="B22" s="2">
        <v>46191</v>
      </c>
      <c r="C22" s="4">
        <v>209</v>
      </c>
      <c r="D22" s="4">
        <v>18</v>
      </c>
      <c r="E22" s="4">
        <v>15</v>
      </c>
      <c r="F22" s="8"/>
    </row>
    <row r="23" spans="1:6" ht="22.05" customHeight="1">
      <c r="A23" s="3">
        <v>19</v>
      </c>
      <c r="B23" s="2">
        <v>46205</v>
      </c>
      <c r="C23" s="4">
        <v>151</v>
      </c>
      <c r="D23" s="4">
        <v>5</v>
      </c>
      <c r="E23" s="4">
        <v>40</v>
      </c>
      <c r="F23" s="8"/>
    </row>
    <row r="24" spans="1:6" ht="22.05" customHeight="1">
      <c r="A24" s="3">
        <v>20</v>
      </c>
      <c r="B24" s="2">
        <v>46223</v>
      </c>
      <c r="C24" s="6">
        <v>121</v>
      </c>
      <c r="D24" s="4">
        <v>7</v>
      </c>
      <c r="E24" s="4">
        <v>7</v>
      </c>
      <c r="F24" s="8" t="s">
        <v>12</v>
      </c>
    </row>
    <row r="25" spans="1:6" ht="36.6" customHeight="1">
      <c r="A25" s="12" t="s">
        <v>13</v>
      </c>
      <c r="B25" s="12"/>
      <c r="C25" s="5">
        <f>SUM(C5:C24)</f>
        <v>7153</v>
      </c>
      <c r="D25" s="5">
        <f>SUM(D5:D24)</f>
        <v>448</v>
      </c>
      <c r="E25" s="5">
        <f>SUM(E5:E24)</f>
        <v>605</v>
      </c>
      <c r="F25" s="9" t="s">
        <v>14</v>
      </c>
    </row>
    <row r="26" spans="1:6" ht="37.200000000000003" customHeight="1">
      <c r="A26" s="12" t="s">
        <v>15</v>
      </c>
      <c r="B26" s="12"/>
      <c r="C26" s="5">
        <v>7388</v>
      </c>
      <c r="D26" s="5">
        <v>418</v>
      </c>
      <c r="E26" s="5">
        <v>605</v>
      </c>
      <c r="F26" s="9" t="s">
        <v>16</v>
      </c>
    </row>
    <row r="29" spans="1:6" ht="14.4">
      <c r="A29" s="14" t="s">
        <v>17</v>
      </c>
      <c r="B29" s="16" t="s">
        <v>18</v>
      </c>
      <c r="C29" s="13" t="s">
        <v>20</v>
      </c>
      <c r="D29" s="13" t="s">
        <v>19</v>
      </c>
      <c r="E29" s="15"/>
      <c r="F29" s="15"/>
    </row>
    <row r="30" spans="1:6">
      <c r="A30">
        <v>1</v>
      </c>
      <c r="B30" s="17" t="s">
        <v>23</v>
      </c>
      <c r="C30">
        <f>SUMIFS(C$5:C$24, B$5:B$24, "&gt;="&amp;B30, B$5:B$24, "&lt;="&amp;EOMONTH(B30,0))</f>
        <v>104</v>
      </c>
      <c r="D30">
        <f>COUNTIFS(B$5:B$24, "&gt;="&amp;B30, B$5:B$24, "&lt;="&amp;EOMONTH(B30,0))</f>
        <v>2</v>
      </c>
    </row>
    <row r="31" spans="1:6">
      <c r="A31">
        <v>2</v>
      </c>
      <c r="B31" s="17" t="s">
        <v>22</v>
      </c>
      <c r="C31">
        <f t="shared" ref="C31:C39" si="0">SUMIFS(C$5:C$24, B$5:B$24, "&gt;="&amp;B31, B$5:B$24, "&lt;="&amp;EOMONTH(B31,0))</f>
        <v>279</v>
      </c>
      <c r="D31">
        <f t="shared" ref="D31:D39" si="1">COUNTIFS(B$5:B$24, "&gt;="&amp;B31, B$5:B$24, "&lt;="&amp;EOMONTH(B31,0))</f>
        <v>2</v>
      </c>
    </row>
    <row r="32" spans="1:6">
      <c r="A32">
        <v>3</v>
      </c>
      <c r="B32" s="17" t="s">
        <v>24</v>
      </c>
      <c r="C32">
        <f t="shared" si="0"/>
        <v>208</v>
      </c>
      <c r="D32">
        <f t="shared" si="1"/>
        <v>2</v>
      </c>
    </row>
    <row r="33" spans="1:4">
      <c r="A33">
        <v>4</v>
      </c>
      <c r="B33" s="17" t="s">
        <v>25</v>
      </c>
      <c r="C33">
        <f t="shared" si="0"/>
        <v>970</v>
      </c>
      <c r="D33">
        <f t="shared" si="1"/>
        <v>2</v>
      </c>
    </row>
    <row r="34" spans="1:4">
      <c r="A34">
        <v>5</v>
      </c>
      <c r="B34" s="17" t="s">
        <v>27</v>
      </c>
      <c r="C34">
        <f t="shared" si="0"/>
        <v>1380</v>
      </c>
      <c r="D34">
        <f t="shared" si="1"/>
        <v>2</v>
      </c>
    </row>
    <row r="35" spans="1:4">
      <c r="A35">
        <v>6</v>
      </c>
      <c r="B35" s="17" t="s">
        <v>26</v>
      </c>
      <c r="C35">
        <f t="shared" si="0"/>
        <v>2046</v>
      </c>
      <c r="D35">
        <f t="shared" si="1"/>
        <v>3</v>
      </c>
    </row>
    <row r="36" spans="1:4">
      <c r="A36">
        <v>7</v>
      </c>
      <c r="B36" s="17" t="s">
        <v>21</v>
      </c>
      <c r="C36">
        <f t="shared" si="0"/>
        <v>858</v>
      </c>
      <c r="D36">
        <f t="shared" si="1"/>
        <v>2</v>
      </c>
    </row>
    <row r="37" spans="1:4">
      <c r="A37">
        <v>8</v>
      </c>
      <c r="B37" s="17" t="s">
        <v>28</v>
      </c>
      <c r="C37">
        <f t="shared" si="0"/>
        <v>479</v>
      </c>
      <c r="D37">
        <f t="shared" si="1"/>
        <v>1</v>
      </c>
    </row>
    <row r="38" spans="1:4">
      <c r="A38">
        <v>9</v>
      </c>
      <c r="B38" s="17" t="s">
        <v>29</v>
      </c>
      <c r="C38">
        <f t="shared" si="0"/>
        <v>557</v>
      </c>
      <c r="D38">
        <f t="shared" si="1"/>
        <v>2</v>
      </c>
    </row>
    <row r="39" spans="1:4">
      <c r="A39">
        <v>10</v>
      </c>
      <c r="B39" s="17" t="s">
        <v>30</v>
      </c>
      <c r="C39">
        <f t="shared" si="0"/>
        <v>272</v>
      </c>
      <c r="D39">
        <f t="shared" si="1"/>
        <v>2</v>
      </c>
    </row>
  </sheetData>
  <mergeCells count="4">
    <mergeCell ref="A1:F1"/>
    <mergeCell ref="A2:F2"/>
    <mergeCell ref="A25:B25"/>
    <mergeCell ref="A26:B2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Ciwidey</dc:creator>
  <cp:lastModifiedBy>RIZKY SATRIA GUNAWAN</cp:lastModifiedBy>
  <dcterms:created xsi:type="dcterms:W3CDTF">2026-09-21T07:22:39Z</dcterms:created>
  <dcterms:modified xsi:type="dcterms:W3CDTF">2026-09-21T07:22:40Z</dcterms:modified>
</cp:coreProperties>
</file>